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编辑组" state="visible" r:id="rId4"/>
    <sheet sheetId="2" name="视觉组" state="visible" r:id="rId5"/>
    <sheet sheetId="3" name="文案组" state="visible" r:id="rId6"/>
    <sheet sheetId="4" name="联络组" state="visible" r:id="rId7"/>
    <sheet sheetId="5" name="视频号" state="visible" r:id="rId8"/>
  </sheets>
  <definedNames>
    <definedName name="_xlnm.Print_Titles" localSheetId="0">'编辑组'!$1:$1</definedName>
    <definedName name="_xlnm.Print_Titles" localSheetId="1">'视觉组'!$1:$1</definedName>
    <definedName name="_xlnm.Print_Titles" localSheetId="2">'文案组'!$1:$1</definedName>
    <definedName name="_xlnm.Print_Titles" localSheetId="3">'联络组'!$1:$1</definedName>
    <definedName name="_xlnm.Print_Titles" localSheetId="4">'视频号'!$1:$1</definedName>
  </definedNames>
  <calcPr calcId="171027" fullCalcOnLoad="1"/>
</workbook>
</file>

<file path=xl/sharedStrings.xml><?xml version="1.0" encoding="utf-8"?>
<sst xmlns="http://schemas.openxmlformats.org/spreadsheetml/2006/main" count="152" uniqueCount="67">
  <si>
    <t>姓名</t>
  </si>
  <si>
    <t>学号</t>
  </si>
  <si>
    <t>工作内容</t>
  </si>
  <si>
    <t>工时</t>
  </si>
  <si>
    <t>备注</t>
  </si>
  <si>
    <t>沈知遥</t>
  </si>
  <si>
    <t>0000001001</t>
  </si>
  <si>
    <t>迎新报道撰写</t>
  </si>
  <si>
    <t>虚构示例：工作工时</t>
  </si>
  <si>
    <t>宣传物料费用折算</t>
  </si>
  <si>
    <t>物料费30元÷25=1.2小时</t>
  </si>
  <si>
    <t>活动交通费用折算</t>
  </si>
  <si>
    <t>车费50元÷25=2小时，不另加金额</t>
  </si>
  <si>
    <t>个人合计</t>
  </si>
  <si>
    <t>林星澄</t>
  </si>
  <si>
    <t>0000001002</t>
  </si>
  <si>
    <t>稿件校对与排版</t>
  </si>
  <si>
    <t>虚构示例：含两轮校对</t>
  </si>
  <si>
    <t>0000001010</t>
  </si>
  <si>
    <t>活动快讯编辑</t>
  </si>
  <si>
    <t>与0000001001同名但非同一人，按学号区分</t>
  </si>
  <si>
    <t>本组合计</t>
  </si>
  <si>
    <t>统计月份：2026-09 ｜ 导出时间：2026/9/30 18:00:00（北京时间） ｜ 版本：v1</t>
  </si>
  <si>
    <t>已通过5条，17.7小时，442.50元；合计行E列展示金额，明细E列为备注。</t>
  </si>
  <si>
    <t>费用已包含在工时内，不重复加款。正式记录排除0条；另有未提交草稿0条（仅数量）。</t>
  </si>
  <si>
    <t>金额按组内个人合计舍入到分；长文本可能续行，工时仅在该记录首行计入。</t>
  </si>
  <si>
    <t>已通过、已导出仅表示审核与整理进度，不代表款项已到账。</t>
  </si>
  <si>
    <t>许沐川</t>
  </si>
  <si>
    <t>0000001003</t>
  </si>
  <si>
    <t>海报适配与输出</t>
  </si>
  <si>
    <t>同一学生多条记录</t>
  </si>
  <si>
    <t>活动海报设计</t>
  </si>
  <si>
    <t>虚构示例：海报设计与修改</t>
  </si>
  <si>
    <t>陈知夏</t>
  </si>
  <si>
    <t>0000001004</t>
  </si>
  <si>
    <t>长图制作</t>
  </si>
  <si>
    <t>含主视觉、标题与中文说明排版</t>
  </si>
  <si>
    <t>已通过3条，10.75小时，268.75元；合计行E列展示金额，明细E列为备注。</t>
  </si>
  <si>
    <t>跨组推文文案整理</t>
  </si>
  <si>
    <t>同一学生跨组，保留文案组归属</t>
  </si>
  <si>
    <t>唐时安</t>
  </si>
  <si>
    <t>0000001005</t>
  </si>
  <si>
    <t>奖励工时示例</t>
  </si>
  <si>
    <t>仅演示登记方式，不代表部门奖励标准</t>
  </si>
  <si>
    <t>人物采访提纲整理</t>
  </si>
  <si>
    <t>虚构示例：采访准备</t>
  </si>
  <si>
    <t>已通过3条，7.5小时，187.50元；合计行E列展示金额，明细E列为备注。</t>
  </si>
  <si>
    <t>宋念初</t>
  </si>
  <si>
    <t>0000001006</t>
  </si>
  <si>
    <t>活动车费折算</t>
  </si>
  <si>
    <t>车费50.01元÷25=2.0004小时，禁止截断</t>
  </si>
  <si>
    <t>联络物料费用折算</t>
  </si>
  <si>
    <t>物料费30元÷25=1.2小时，费用不重复加算</t>
  </si>
  <si>
    <t>季南枝</t>
  </si>
  <si>
    <t>0000001007</t>
  </si>
  <si>
    <t>嘉宾联络与现场协调</t>
  </si>
  <si>
    <t>虚构示例：会前确认与会中协调</t>
  </si>
  <si>
    <t>已通过3条，6.2004小时，155.01元；合计行E列展示金额，明细E列为备注。</t>
  </si>
  <si>
    <t>顾书言</t>
  </si>
  <si>
    <t>0000001008</t>
  </si>
  <si>
    <t>组内管理与协调示例</t>
  </si>
  <si>
    <t>虚构管理工时，仅演示维护方式，标准待部门确认</t>
  </si>
  <si>
    <t>温以棠</t>
  </si>
  <si>
    <t>0000001009</t>
  </si>
  <si>
    <t>活动短片剪辑</t>
  </si>
  <si>
    <t>虚构示例：完成剪辑与字幕校对</t>
  </si>
  <si>
    <t>已通过2条，8.5小时，212.50元；合计行E列展示金额，明细E列为备注。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</si>
</sst>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"/>
    <numFmt numFmtId="165" formatCode="&quot;金额：&quot;0.00&quot; 元&quot;"/>
  </numFmts>
  <fonts count="6" x14ac:knownFonts="1">
    <font>
      <color theme="1"/>
      <family val="2"/>
      <scheme val="minor"/>
      <sz val="11"/>
      <name val="Calibri"/>
    </font>
    <font>
      <b/>
      <color rgb="FF2F3437"/>
    </font>
    <font>
      <b/>
      <color rgb="FF2F3437"/>
      <sz val="10"/>
      <name val="Microsoft YaHei"/>
    </font>
    <font>
      <sz val="10"/>
      <name val="Microsoft YaHei"/>
    </font>
    <font>
      <b/>
    </font>
    <font>
      <b/>
      <sz val="10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F7F6F3"/>
      </patternFill>
    </fill>
    <fill>
      <patternFill patternType="solid">
        <fgColor rgb="FFF3F2EE"/>
      </patternFill>
    </fill>
    <fill>
      <patternFill patternType="solid">
        <fgColor rgb="FFE6E5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4" fillId="0" borderId="0" xfId="0" applyFont="1"/>
    <xf numFmtId="0" fontId="5" fillId="3" borderId="0" xfId="0" applyFont="1" applyFill="1" applyAlignment="1">
      <alignment vertical="center" wrapText="1"/>
    </xf>
    <xf numFmtId="49" fontId="5" fillId="3" borderId="0" xfId="0" applyNumberFormat="1" applyFont="1" applyFill="1" applyAlignment="1">
      <alignment vertical="center" wrapText="1"/>
    </xf>
    <xf numFmtId="164" fontId="5" fillId="3" borderId="0" xfId="0" applyNumberFormat="1" applyFont="1" applyFill="1" applyAlignment="1">
      <alignment vertical="center" wrapText="1"/>
    </xf>
    <xf numFmtId="165" fontId="5" fillId="3" borderId="0" xfId="0" applyNumberFormat="1" applyFont="1" applyFill="1" applyAlignment="1">
      <alignment horizontal="left" vertical="center" wrapText="1"/>
    </xf>
    <xf numFmtId="0" fontId="5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164" fontId="5" fillId="4" borderId="0" xfId="0" applyNumberFormat="1" applyFont="1" applyFill="1" applyAlignment="1">
      <alignment vertical="center" wrapText="1"/>
    </xf>
    <xf numFmtId="165" fontId="5" fillId="4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8" customWidth="1"/>
    <col min="4" max="4" width="12" customWidth="1"/>
    <col min="5" max="5" width="38" customWidth="1"/>
  </cols>
  <sheetData>
    <row r="1" ht="30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5" customHeight="1" spans="1:5" s="3" customFormat="1" x14ac:dyDescent="0.25">
      <c r="A2" s="4" t="s">
        <v>5</v>
      </c>
      <c r="B2" s="5" t="s">
        <v>6</v>
      </c>
      <c r="C2" s="4" t="s">
        <v>7</v>
      </c>
      <c r="D2" s="6">
        <v>8</v>
      </c>
      <c r="E2" s="4" t="s">
        <v>8</v>
      </c>
    </row>
    <row r="3" ht="25" customHeight="1" spans="1:5" s="3" customFormat="1" x14ac:dyDescent="0.25">
      <c r="A3" s="4" t="s">
        <v>5</v>
      </c>
      <c r="B3" s="5" t="s">
        <v>6</v>
      </c>
      <c r="C3" s="4" t="s">
        <v>9</v>
      </c>
      <c r="D3" s="6">
        <v>1.2</v>
      </c>
      <c r="E3" s="4" t="s">
        <v>10</v>
      </c>
    </row>
    <row r="4" ht="25" customHeight="1" spans="1:5" s="3" customFormat="1" x14ac:dyDescent="0.25">
      <c r="A4" s="4" t="s">
        <v>5</v>
      </c>
      <c r="B4" s="5" t="s">
        <v>6</v>
      </c>
      <c r="C4" s="4" t="s">
        <v>11</v>
      </c>
      <c r="D4" s="6">
        <v>2</v>
      </c>
      <c r="E4" s="4" t="s">
        <v>12</v>
      </c>
    </row>
    <row r="5" ht="25" customHeight="1" spans="1:5" s="7" customFormat="1" x14ac:dyDescent="0.25">
      <c r="A5" s="8" t="s">
        <v>5</v>
      </c>
      <c r="B5" s="9" t="s">
        <v>6</v>
      </c>
      <c r="C5" s="8" t="s">
        <v>13</v>
      </c>
      <c r="D5" s="10">
        <f>SUM(D2:D4)</f>
        <v>11.2</v>
      </c>
      <c r="E5" s="11">
        <f>ROUND(D5*25,2)</f>
        <v>280</v>
      </c>
    </row>
    <row r="6" ht="25" customHeight="1" spans="1:5" s="3" customFormat="1" x14ac:dyDescent="0.25">
      <c r="A6" s="4" t="s">
        <v>14</v>
      </c>
      <c r="B6" s="5" t="s">
        <v>15</v>
      </c>
      <c r="C6" s="4" t="s">
        <v>16</v>
      </c>
      <c r="D6" s="6">
        <v>5.5</v>
      </c>
      <c r="E6" s="4" t="s">
        <v>17</v>
      </c>
    </row>
    <row r="7" ht="25" customHeight="1" spans="1:5" s="7" customFormat="1" x14ac:dyDescent="0.25">
      <c r="A7" s="8" t="s">
        <v>14</v>
      </c>
      <c r="B7" s="9" t="s">
        <v>15</v>
      </c>
      <c r="C7" s="8" t="s">
        <v>13</v>
      </c>
      <c r="D7" s="10">
        <f>SUM(D6:D6)</f>
        <v>5.5</v>
      </c>
      <c r="E7" s="11">
        <f>ROUND(D7*25,2)</f>
        <v>137.5</v>
      </c>
    </row>
    <row r="8" ht="43" customHeight="1" spans="1:5" s="3" customFormat="1" x14ac:dyDescent="0.25">
      <c r="A8" s="4" t="s">
        <v>5</v>
      </c>
      <c r="B8" s="5" t="s">
        <v>18</v>
      </c>
      <c r="C8" s="4" t="s">
        <v>19</v>
      </c>
      <c r="D8" s="6">
        <v>1</v>
      </c>
      <c r="E8" s="4" t="s">
        <v>20</v>
      </c>
    </row>
    <row r="9" ht="25" customHeight="1" spans="1:5" s="7" customFormat="1" x14ac:dyDescent="0.25">
      <c r="A9" s="8" t="s">
        <v>5</v>
      </c>
      <c r="B9" s="9" t="s">
        <v>18</v>
      </c>
      <c r="C9" s="8" t="s">
        <v>13</v>
      </c>
      <c r="D9" s="10">
        <f>SUM(D8:D8)</f>
        <v>1</v>
      </c>
      <c r="E9" s="11">
        <f>ROUND(D9*25,2)</f>
        <v>25</v>
      </c>
    </row>
    <row r="10" ht="25" customHeight="1" spans="1:5" s="7" customFormat="1" x14ac:dyDescent="0.25">
      <c r="A10" s="12" t="s">
        <v>21</v>
      </c>
      <c r="B10" s="13"/>
      <c r="C10" s="13"/>
      <c r="D10" s="14">
        <f>SUM(D5,D7,D9)</f>
        <v>17.7</v>
      </c>
      <c r="E10" s="15">
        <f>SUM(E5,E7,E9)</f>
        <v>442.5</v>
      </c>
    </row>
    <row r="12" ht="32" customHeight="1" spans="1:5" s="3" customFormat="1" x14ac:dyDescent="0.25">
      <c r="A12" s="4" t="s">
        <v>22</v>
      </c>
      <c r="B12" s="4"/>
      <c r="C12" s="4"/>
      <c r="D12" s="4"/>
      <c r="E12" s="4"/>
    </row>
    <row r="13" ht="32" customHeight="1" spans="1:5" s="3" customFormat="1" x14ac:dyDescent="0.25">
      <c r="A13" s="4" t="s">
        <v>23</v>
      </c>
      <c r="B13" s="4"/>
      <c r="C13" s="4"/>
      <c r="D13" s="4"/>
      <c r="E13" s="4"/>
    </row>
    <row r="14" ht="32" customHeight="1" spans="1:5" s="3" customFormat="1" x14ac:dyDescent="0.25">
      <c r="A14" s="4" t="s">
        <v>24</v>
      </c>
      <c r="B14" s="4"/>
      <c r="C14" s="4"/>
      <c r="D14" s="4"/>
      <c r="E14" s="4"/>
    </row>
    <row r="15" ht="32" customHeight="1" spans="1:5" s="3" customFormat="1" x14ac:dyDescent="0.25">
      <c r="A15" s="4" t="s">
        <v>25</v>
      </c>
      <c r="B15" s="4"/>
      <c r="C15" s="4"/>
      <c r="D15" s="4"/>
      <c r="E15" s="4"/>
    </row>
    <row r="16" ht="32" customHeight="1" spans="1:5" s="3" customFormat="1" x14ac:dyDescent="0.25">
      <c r="A16" s="4" t="s">
        <v>26</v>
      </c>
      <c r="B16" s="4"/>
      <c r="C16" s="4"/>
      <c r="D16" s="4"/>
      <c r="E16" s="4"/>
    </row>
  </sheetData>
  <mergeCells count="5">
    <mergeCell ref="A12:E12"/>
    <mergeCell ref="A13:E13"/>
    <mergeCell ref="A14:E14"/>
    <mergeCell ref="A15:E15"/>
    <mergeCell ref="A16:E16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8" customWidth="1"/>
    <col min="4" max="4" width="12" customWidth="1"/>
    <col min="5" max="5" width="38" customWidth="1"/>
  </cols>
  <sheetData>
    <row r="1" ht="30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5" customHeight="1" spans="1:5" s="3" customFormat="1" x14ac:dyDescent="0.25">
      <c r="A2" s="4" t="s">
        <v>27</v>
      </c>
      <c r="B2" s="5" t="s">
        <v>28</v>
      </c>
      <c r="C2" s="4" t="s">
        <v>29</v>
      </c>
      <c r="D2" s="6">
        <v>0.5</v>
      </c>
      <c r="E2" s="4" t="s">
        <v>30</v>
      </c>
    </row>
    <row r="3" ht="25" customHeight="1" spans="1:5" s="3" customFormat="1" x14ac:dyDescent="0.25">
      <c r="A3" s="4" t="s">
        <v>27</v>
      </c>
      <c r="B3" s="5" t="s">
        <v>28</v>
      </c>
      <c r="C3" s="4" t="s">
        <v>31</v>
      </c>
      <c r="D3" s="6">
        <v>6.25</v>
      </c>
      <c r="E3" s="4" t="s">
        <v>32</v>
      </c>
    </row>
    <row r="4" ht="25" customHeight="1" spans="1:5" s="7" customFormat="1" x14ac:dyDescent="0.25">
      <c r="A4" s="8" t="s">
        <v>27</v>
      </c>
      <c r="B4" s="9" t="s">
        <v>28</v>
      </c>
      <c r="C4" s="8" t="s">
        <v>13</v>
      </c>
      <c r="D4" s="10">
        <f>SUM(D2:D3)</f>
        <v>6.75</v>
      </c>
      <c r="E4" s="11">
        <f>ROUND(D4*25,2)</f>
        <v>168.75</v>
      </c>
    </row>
    <row r="5" ht="25" customHeight="1" spans="1:5" s="3" customFormat="1" x14ac:dyDescent="0.25">
      <c r="A5" s="4" t="s">
        <v>33</v>
      </c>
      <c r="B5" s="5" t="s">
        <v>34</v>
      </c>
      <c r="C5" s="4" t="s">
        <v>35</v>
      </c>
      <c r="D5" s="6">
        <v>4</v>
      </c>
      <c r="E5" s="4" t="s">
        <v>36</v>
      </c>
    </row>
    <row r="6" ht="25" customHeight="1" spans="1:5" s="7" customFormat="1" x14ac:dyDescent="0.25">
      <c r="A6" s="8" t="s">
        <v>33</v>
      </c>
      <c r="B6" s="9" t="s">
        <v>34</v>
      </c>
      <c r="C6" s="8" t="s">
        <v>13</v>
      </c>
      <c r="D6" s="10">
        <f>SUM(D5:D5)</f>
        <v>4</v>
      </c>
      <c r="E6" s="11">
        <f>ROUND(D6*25,2)</f>
        <v>100</v>
      </c>
    </row>
    <row r="7" ht="25" customHeight="1" spans="1:5" s="7" customFormat="1" x14ac:dyDescent="0.25">
      <c r="A7" s="12" t="s">
        <v>21</v>
      </c>
      <c r="B7" s="13"/>
      <c r="C7" s="13"/>
      <c r="D7" s="14">
        <f>SUM(D4,D6)</f>
        <v>10.75</v>
      </c>
      <c r="E7" s="15">
        <f>SUM(E4,E6)</f>
        <v>268.75</v>
      </c>
    </row>
    <row r="9" ht="32" customHeight="1" spans="1:5" s="3" customFormat="1" x14ac:dyDescent="0.25">
      <c r="A9" s="4" t="s">
        <v>22</v>
      </c>
      <c r="B9" s="4"/>
      <c r="C9" s="4"/>
      <c r="D9" s="4"/>
      <c r="E9" s="4"/>
    </row>
    <row r="10" ht="32" customHeight="1" spans="1:5" s="3" customFormat="1" x14ac:dyDescent="0.25">
      <c r="A10" s="4" t="s">
        <v>37</v>
      </c>
      <c r="B10" s="4"/>
      <c r="C10" s="4"/>
      <c r="D10" s="4"/>
      <c r="E10" s="4"/>
    </row>
    <row r="11" ht="32" customHeight="1" spans="1:5" s="3" customFormat="1" x14ac:dyDescent="0.25">
      <c r="A11" s="4" t="s">
        <v>24</v>
      </c>
      <c r="B11" s="4"/>
      <c r="C11" s="4"/>
      <c r="D11" s="4"/>
      <c r="E11" s="4"/>
    </row>
    <row r="12" ht="32" customHeight="1" spans="1:5" s="3" customFormat="1" x14ac:dyDescent="0.25">
      <c r="A12" s="4" t="s">
        <v>25</v>
      </c>
      <c r="B12" s="4"/>
      <c r="C12" s="4"/>
      <c r="D12" s="4"/>
      <c r="E12" s="4"/>
    </row>
    <row r="13" ht="32" customHeight="1" spans="1:5" s="3" customFormat="1" x14ac:dyDescent="0.25">
      <c r="A13" s="4" t="s">
        <v>26</v>
      </c>
      <c r="B13" s="4"/>
      <c r="C13" s="4"/>
      <c r="D13" s="4"/>
      <c r="E13" s="4"/>
    </row>
  </sheetData>
  <mergeCells count="5">
    <mergeCell ref="A9:E9"/>
    <mergeCell ref="A10:E10"/>
    <mergeCell ref="A11:E11"/>
    <mergeCell ref="A12:E12"/>
    <mergeCell ref="A13:E13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8" customWidth="1"/>
    <col min="4" max="4" width="12" customWidth="1"/>
    <col min="5" max="5" width="38" customWidth="1"/>
  </cols>
  <sheetData>
    <row r="1" ht="30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5" customHeight="1" spans="1:5" s="3" customFormat="1" x14ac:dyDescent="0.25">
      <c r="A2" s="4" t="s">
        <v>5</v>
      </c>
      <c r="B2" s="5" t="s">
        <v>6</v>
      </c>
      <c r="C2" s="4" t="s">
        <v>38</v>
      </c>
      <c r="D2" s="6">
        <v>2.5</v>
      </c>
      <c r="E2" s="4" t="s">
        <v>39</v>
      </c>
    </row>
    <row r="3" ht="25" customHeight="1" spans="1:5" s="7" customFormat="1" x14ac:dyDescent="0.25">
      <c r="A3" s="8" t="s">
        <v>5</v>
      </c>
      <c r="B3" s="9" t="s">
        <v>6</v>
      </c>
      <c r="C3" s="8" t="s">
        <v>13</v>
      </c>
      <c r="D3" s="10">
        <f>SUM(D2:D2)</f>
        <v>2.5</v>
      </c>
      <c r="E3" s="11">
        <f>ROUND(D3*25,2)</f>
        <v>62.5</v>
      </c>
    </row>
    <row r="4" ht="43" customHeight="1" spans="1:5" s="3" customFormat="1" x14ac:dyDescent="0.25">
      <c r="A4" s="4" t="s">
        <v>40</v>
      </c>
      <c r="B4" s="5" t="s">
        <v>41</v>
      </c>
      <c r="C4" s="4" t="s">
        <v>42</v>
      </c>
      <c r="D4" s="6">
        <v>1.5</v>
      </c>
      <c r="E4" s="4" t="s">
        <v>43</v>
      </c>
    </row>
    <row r="5" ht="25" customHeight="1" spans="1:5" s="3" customFormat="1" x14ac:dyDescent="0.25">
      <c r="A5" s="4" t="s">
        <v>40</v>
      </c>
      <c r="B5" s="5" t="s">
        <v>41</v>
      </c>
      <c r="C5" s="4" t="s">
        <v>44</v>
      </c>
      <c r="D5" s="6">
        <v>3.5</v>
      </c>
      <c r="E5" s="4" t="s">
        <v>45</v>
      </c>
    </row>
    <row r="6" ht="25" customHeight="1" spans="1:5" s="7" customFormat="1" x14ac:dyDescent="0.25">
      <c r="A6" s="8" t="s">
        <v>40</v>
      </c>
      <c r="B6" s="9" t="s">
        <v>41</v>
      </c>
      <c r="C6" s="8" t="s">
        <v>13</v>
      </c>
      <c r="D6" s="10">
        <f>SUM(D4:D5)</f>
        <v>5</v>
      </c>
      <c r="E6" s="11">
        <f>ROUND(D6*25,2)</f>
        <v>125</v>
      </c>
    </row>
    <row r="7" ht="25" customHeight="1" spans="1:5" s="7" customFormat="1" x14ac:dyDescent="0.25">
      <c r="A7" s="12" t="s">
        <v>21</v>
      </c>
      <c r="B7" s="13"/>
      <c r="C7" s="13"/>
      <c r="D7" s="14">
        <f>SUM(D3,D6)</f>
        <v>7.5</v>
      </c>
      <c r="E7" s="15">
        <f>SUM(E3,E6)</f>
        <v>187.5</v>
      </c>
    </row>
    <row r="9" ht="32" customHeight="1" spans="1:5" s="3" customFormat="1" x14ac:dyDescent="0.25">
      <c r="A9" s="4" t="s">
        <v>22</v>
      </c>
      <c r="B9" s="4"/>
      <c r="C9" s="4"/>
      <c r="D9" s="4"/>
      <c r="E9" s="4"/>
    </row>
    <row r="10" ht="32" customHeight="1" spans="1:5" s="3" customFormat="1" x14ac:dyDescent="0.25">
      <c r="A10" s="4" t="s">
        <v>46</v>
      </c>
      <c r="B10" s="4"/>
      <c r="C10" s="4"/>
      <c r="D10" s="4"/>
      <c r="E10" s="4"/>
    </row>
    <row r="11" ht="32" customHeight="1" spans="1:5" s="3" customFormat="1" x14ac:dyDescent="0.25">
      <c r="A11" s="4" t="s">
        <v>24</v>
      </c>
      <c r="B11" s="4"/>
      <c r="C11" s="4"/>
      <c r="D11" s="4"/>
      <c r="E11" s="4"/>
    </row>
    <row r="12" ht="32" customHeight="1" spans="1:5" s="3" customFormat="1" x14ac:dyDescent="0.25">
      <c r="A12" s="4" t="s">
        <v>25</v>
      </c>
      <c r="B12" s="4"/>
      <c r="C12" s="4"/>
      <c r="D12" s="4"/>
      <c r="E12" s="4"/>
    </row>
    <row r="13" ht="32" customHeight="1" spans="1:5" s="3" customFormat="1" x14ac:dyDescent="0.25">
      <c r="A13" s="4" t="s">
        <v>26</v>
      </c>
      <c r="B13" s="4"/>
      <c r="C13" s="4"/>
      <c r="D13" s="4"/>
      <c r="E13" s="4"/>
    </row>
  </sheetData>
  <mergeCells count="5">
    <mergeCell ref="A9:E9"/>
    <mergeCell ref="A10:E10"/>
    <mergeCell ref="A11:E11"/>
    <mergeCell ref="A12:E12"/>
    <mergeCell ref="A13:E13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8" customWidth="1"/>
    <col min="4" max="4" width="12" customWidth="1"/>
    <col min="5" max="5" width="38" customWidth="1"/>
  </cols>
  <sheetData>
    <row r="1" ht="30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3" customHeight="1" spans="1:5" s="3" customFormat="1" x14ac:dyDescent="0.25">
      <c r="A2" s="4" t="s">
        <v>47</v>
      </c>
      <c r="B2" s="5" t="s">
        <v>48</v>
      </c>
      <c r="C2" s="4" t="s">
        <v>49</v>
      </c>
      <c r="D2" s="6">
        <v>2.0004</v>
      </c>
      <c r="E2" s="4" t="s">
        <v>50</v>
      </c>
    </row>
    <row r="3" ht="43" customHeight="1" spans="1:5" s="3" customFormat="1" x14ac:dyDescent="0.25">
      <c r="A3" s="4" t="s">
        <v>47</v>
      </c>
      <c r="B3" s="5" t="s">
        <v>48</v>
      </c>
      <c r="C3" s="4" t="s">
        <v>51</v>
      </c>
      <c r="D3" s="6">
        <v>1.2</v>
      </c>
      <c r="E3" s="4" t="s">
        <v>52</v>
      </c>
    </row>
    <row r="4" ht="25" customHeight="1" spans="1:5" s="7" customFormat="1" x14ac:dyDescent="0.25">
      <c r="A4" s="8" t="s">
        <v>47</v>
      </c>
      <c r="B4" s="9" t="s">
        <v>48</v>
      </c>
      <c r="C4" s="8" t="s">
        <v>13</v>
      </c>
      <c r="D4" s="10">
        <f>SUM(D2:D3)</f>
        <v>3.2004</v>
      </c>
      <c r="E4" s="11">
        <f>ROUND(D4*25,2)</f>
        <v>80.01</v>
      </c>
    </row>
    <row r="5" ht="25" customHeight="1" spans="1:5" s="3" customFormat="1" x14ac:dyDescent="0.25">
      <c r="A5" s="4" t="s">
        <v>53</v>
      </c>
      <c r="B5" s="5" t="s">
        <v>54</v>
      </c>
      <c r="C5" s="4" t="s">
        <v>55</v>
      </c>
      <c r="D5" s="6">
        <v>3</v>
      </c>
      <c r="E5" s="4" t="s">
        <v>56</v>
      </c>
    </row>
    <row r="6" ht="25" customHeight="1" spans="1:5" s="7" customFormat="1" x14ac:dyDescent="0.25">
      <c r="A6" s="8" t="s">
        <v>53</v>
      </c>
      <c r="B6" s="9" t="s">
        <v>54</v>
      </c>
      <c r="C6" s="8" t="s">
        <v>13</v>
      </c>
      <c r="D6" s="10">
        <f>SUM(D5:D5)</f>
        <v>3</v>
      </c>
      <c r="E6" s="11">
        <f>ROUND(D6*25,2)</f>
        <v>75</v>
      </c>
    </row>
    <row r="7" ht="25" customHeight="1" spans="1:5" s="7" customFormat="1" x14ac:dyDescent="0.25">
      <c r="A7" s="12" t="s">
        <v>21</v>
      </c>
      <c r="B7" s="13"/>
      <c r="C7" s="13"/>
      <c r="D7" s="14">
        <f>SUM(D4,D6)</f>
        <v>6.2004</v>
      </c>
      <c r="E7" s="15">
        <f>SUM(E4,E6)</f>
        <v>155.01</v>
      </c>
    </row>
    <row r="9" ht="32" customHeight="1" spans="1:5" s="3" customFormat="1" x14ac:dyDescent="0.25">
      <c r="A9" s="4" t="s">
        <v>22</v>
      </c>
      <c r="B9" s="4"/>
      <c r="C9" s="4"/>
      <c r="D9" s="4"/>
      <c r="E9" s="4"/>
    </row>
    <row r="10" ht="32" customHeight="1" spans="1:5" s="3" customFormat="1" x14ac:dyDescent="0.25">
      <c r="A10" s="4" t="s">
        <v>57</v>
      </c>
      <c r="B10" s="4"/>
      <c r="C10" s="4"/>
      <c r="D10" s="4"/>
      <c r="E10" s="4"/>
    </row>
    <row r="11" ht="32" customHeight="1" spans="1:5" s="3" customFormat="1" x14ac:dyDescent="0.25">
      <c r="A11" s="4" t="s">
        <v>24</v>
      </c>
      <c r="B11" s="4"/>
      <c r="C11" s="4"/>
      <c r="D11" s="4"/>
      <c r="E11" s="4"/>
    </row>
    <row r="12" ht="32" customHeight="1" spans="1:5" s="3" customFormat="1" x14ac:dyDescent="0.25">
      <c r="A12" s="4" t="s">
        <v>25</v>
      </c>
      <c r="B12" s="4"/>
      <c r="C12" s="4"/>
      <c r="D12" s="4"/>
      <c r="E12" s="4"/>
    </row>
    <row r="13" ht="32" customHeight="1" spans="1:5" s="3" customFormat="1" x14ac:dyDescent="0.25">
      <c r="A13" s="4" t="s">
        <v>26</v>
      </c>
      <c r="B13" s="4"/>
      <c r="C13" s="4"/>
      <c r="D13" s="4"/>
      <c r="E13" s="4"/>
    </row>
  </sheetData>
  <mergeCells count="5">
    <mergeCell ref="A9:E9"/>
    <mergeCell ref="A10:E10"/>
    <mergeCell ref="A11:E11"/>
    <mergeCell ref="A12:E12"/>
    <mergeCell ref="A13:E13"/>
  </mergeCell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8" customWidth="1"/>
    <col min="4" max="4" width="12" customWidth="1"/>
    <col min="5" max="5" width="38" customWidth="1"/>
  </cols>
  <sheetData>
    <row r="1" ht="30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3" customHeight="1" spans="1:5" s="3" customFormat="1" x14ac:dyDescent="0.25">
      <c r="A2" s="4" t="s">
        <v>58</v>
      </c>
      <c r="B2" s="5" t="s">
        <v>59</v>
      </c>
      <c r="C2" s="4" t="s">
        <v>60</v>
      </c>
      <c r="D2" s="6">
        <v>6.5</v>
      </c>
      <c r="E2" s="4" t="s">
        <v>61</v>
      </c>
    </row>
    <row r="3" ht="25" customHeight="1" spans="1:5" s="7" customFormat="1" x14ac:dyDescent="0.25">
      <c r="A3" s="8" t="s">
        <v>58</v>
      </c>
      <c r="B3" s="9" t="s">
        <v>59</v>
      </c>
      <c r="C3" s="8" t="s">
        <v>13</v>
      </c>
      <c r="D3" s="10">
        <f>SUM(D2:D2)</f>
        <v>6.5</v>
      </c>
      <c r="E3" s="11">
        <f>ROUND(D3*25,2)</f>
        <v>162.5</v>
      </c>
    </row>
    <row r="4" ht="25" customHeight="1" spans="1:5" s="3" customFormat="1" x14ac:dyDescent="0.25">
      <c r="A4" s="4" t="s">
        <v>62</v>
      </c>
      <c r="B4" s="5" t="s">
        <v>63</v>
      </c>
      <c r="C4" s="4" t="s">
        <v>64</v>
      </c>
      <c r="D4" s="6">
        <v>2</v>
      </c>
      <c r="E4" s="4" t="s">
        <v>65</v>
      </c>
    </row>
    <row r="5" ht="25" customHeight="1" spans="1:5" s="7" customFormat="1" x14ac:dyDescent="0.25">
      <c r="A5" s="8" t="s">
        <v>62</v>
      </c>
      <c r="B5" s="9" t="s">
        <v>63</v>
      </c>
      <c r="C5" s="8" t="s">
        <v>13</v>
      </c>
      <c r="D5" s="10">
        <f>SUM(D4:D4)</f>
        <v>2</v>
      </c>
      <c r="E5" s="11">
        <f>ROUND(D5*25,2)</f>
        <v>50</v>
      </c>
    </row>
    <row r="6" ht="25" customHeight="1" spans="1:5" s="7" customFormat="1" x14ac:dyDescent="0.25">
      <c r="A6" s="12" t="s">
        <v>21</v>
      </c>
      <c r="B6" s="13"/>
      <c r="C6" s="13"/>
      <c r="D6" s="14">
        <f>SUM(D3,D5)</f>
        <v>8.5</v>
      </c>
      <c r="E6" s="15">
        <f>SUM(E3,E5)</f>
        <v>212.5</v>
      </c>
    </row>
    <row r="8" ht="32" customHeight="1" spans="1:5" s="3" customFormat="1" x14ac:dyDescent="0.25">
      <c r="A8" s="4" t="s">
        <v>22</v>
      </c>
      <c r="B8" s="4"/>
      <c r="C8" s="4"/>
      <c r="D8" s="4"/>
      <c r="E8" s="4"/>
    </row>
    <row r="9" ht="32" customHeight="1" spans="1:5" s="3" customFormat="1" x14ac:dyDescent="0.25">
      <c r="A9" s="4" t="s">
        <v>66</v>
      </c>
      <c r="B9" s="4"/>
      <c r="C9" s="4"/>
      <c r="D9" s="4"/>
      <c r="E9" s="4"/>
    </row>
    <row r="10" ht="32" customHeight="1" spans="1:5" s="3" customFormat="1" x14ac:dyDescent="0.25">
      <c r="A10" s="4" t="s">
        <v>24</v>
      </c>
      <c r="B10" s="4"/>
      <c r="C10" s="4"/>
      <c r="D10" s="4"/>
      <c r="E10" s="4"/>
    </row>
    <row r="11" ht="32" customHeight="1" spans="1:5" s="3" customFormat="1" x14ac:dyDescent="0.25">
      <c r="A11" s="4" t="s">
        <v>25</v>
      </c>
      <c r="B11" s="4"/>
      <c r="C11" s="4"/>
      <c r="D11" s="4"/>
      <c r="E11" s="4"/>
    </row>
    <row r="12" ht="32" customHeight="1" spans="1:5" s="3" customFormat="1" x14ac:dyDescent="0.25">
      <c r="A12" s="4" t="s">
        <v>26</v>
      </c>
      <c r="B12" s="4"/>
      <c r="C12" s="4"/>
      <c r="D12" s="4"/>
      <c r="E12" s="4"/>
    </row>
  </sheetData>
  <mergeCells count="5">
    <mergeCell ref="A8:E8"/>
    <mergeCell ref="A9:E9"/>
    <mergeCell ref="A10:E10"/>
    <mergeCell ref="A11:E11"/>
    <mergeCell ref="A12:E12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编辑组</vt:lpstr>
      <vt:lpstr>视觉组</vt:lpstr>
      <vt:lpstr>文案组</vt:lpstr>
      <vt:lpstr>联络组</vt:lpstr>
      <vt:lpstr>视频号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工时汇总</dc:creator>
  <dc:title/>
  <dc:subject/>
  <dc:description/>
  <cp:keywords/>
  <cp:category/>
  <cp:lastModifiedBy>Unknown</cp:lastModifiedBy>
  <dcterms:created xsi:type="dcterms:W3CDTF">2026-09-30T10:00:00Z</dcterms:created>
  <dcterms:modified xsi:type="dcterms:W3CDTF">2026-10-28T13:42:23Z</dcterms:modified>
</cp:coreProperties>
</file>